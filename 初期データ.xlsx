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uns\source\fanaticServe\"/>
    </mc:Choice>
  </mc:AlternateContent>
  <bookViews>
    <workbookView xWindow="0" yWindow="0" windowWidth="12780" windowHeight="12750" activeTab="2"/>
  </bookViews>
  <sheets>
    <sheet name="#SheetList" sheetId="14" r:id="rId1"/>
    <sheet name="ID" sheetId="1" r:id="rId2"/>
    <sheet name="abustract_album" sheetId="2" r:id="rId3"/>
    <sheet name="album" sheetId="3" r:id="rId4"/>
    <sheet name="media" sheetId="5" r:id="rId5"/>
    <sheet name="organization" sheetId="6" r:id="rId6"/>
    <sheet name="label" sheetId="4" r:id="rId7"/>
    <sheet name="person" sheetId="7" r:id="rId8"/>
    <sheet name="role" sheetId="8" r:id="rId9"/>
    <sheet name="roleOnAlbum" sheetId="9" r:id="rId10"/>
    <sheet name="roleOnSong" sheetId="10" r:id="rId11"/>
    <sheet name="site" sheetId="11" r:id="rId12"/>
    <sheet name="song" sheetId="12" r:id="rId13"/>
    <sheet name="track" sheetId="13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2" l="1"/>
  <c r="E4" i="12"/>
  <c r="E5" i="12"/>
  <c r="D4" i="12"/>
  <c r="D5" i="12"/>
  <c r="D3" i="12"/>
  <c r="D4" i="7"/>
  <c r="E4" i="7"/>
  <c r="D5" i="7"/>
  <c r="E5" i="7"/>
  <c r="D6" i="7"/>
  <c r="E6" i="7"/>
  <c r="D7" i="7"/>
  <c r="E7" i="7"/>
  <c r="D8" i="7"/>
  <c r="E8" i="7"/>
  <c r="E3" i="7"/>
  <c r="D3" i="7"/>
</calcChain>
</file>

<file path=xl/sharedStrings.xml><?xml version="1.0" encoding="utf-8"?>
<sst xmlns="http://schemas.openxmlformats.org/spreadsheetml/2006/main" count="247" uniqueCount="131">
  <si>
    <t>No.</t>
  </si>
  <si>
    <t>Sheet</t>
  </si>
  <si>
    <t>ID</t>
  </si>
  <si>
    <t>abustract_album</t>
  </si>
  <si>
    <t>album</t>
  </si>
  <si>
    <t>label</t>
  </si>
  <si>
    <t>media</t>
  </si>
  <si>
    <t>organization</t>
  </si>
  <si>
    <t>person</t>
  </si>
  <si>
    <t>role</t>
  </si>
  <si>
    <t>roleOnAlbum</t>
  </si>
  <si>
    <t>roleOnSong</t>
  </si>
  <si>
    <t>site</t>
  </si>
  <si>
    <t>song</t>
  </si>
  <si>
    <t>track</t>
  </si>
  <si>
    <t>track_id</t>
  </si>
  <si>
    <t>album_id</t>
  </si>
  <si>
    <t>track_no</t>
  </si>
  <si>
    <t>title</t>
  </si>
  <si>
    <t>length</t>
  </si>
  <si>
    <t>song_id</t>
  </si>
  <si>
    <t>created_at</t>
  </si>
  <si>
    <t>modified_at</t>
  </si>
  <si>
    <t>uniqueidentifier</t>
  </si>
  <si>
    <t>int</t>
  </si>
  <si>
    <t>nvarchar(256)</t>
  </si>
  <si>
    <t>datetime</t>
  </si>
  <si>
    <t>kana</t>
  </si>
  <si>
    <t>nvarchar(128)</t>
  </si>
  <si>
    <t>site_id</t>
  </si>
  <si>
    <t>sequence</t>
  </si>
  <si>
    <t>display_name</t>
  </si>
  <si>
    <t>url</t>
  </si>
  <si>
    <t>id</t>
  </si>
  <si>
    <t>role_id</t>
  </si>
  <si>
    <t>person_id</t>
  </si>
  <si>
    <t>name</t>
  </si>
  <si>
    <t>organization_id</t>
  </si>
  <si>
    <t>media_type</t>
  </si>
  <si>
    <t>label_id</t>
  </si>
  <si>
    <t>abustract_album_id</t>
  </si>
  <si>
    <t>YES!!【さばげぶっ！盤】</t>
    <phoneticPr fontId="2"/>
  </si>
  <si>
    <t>YES!!【彩香盤】</t>
    <phoneticPr fontId="2"/>
  </si>
  <si>
    <t>YES!!</t>
  </si>
  <si>
    <t>Lantis</t>
    <phoneticPr fontId="2"/>
  </si>
  <si>
    <t>CD</t>
  </si>
  <si>
    <t>DVD</t>
  </si>
  <si>
    <t>Bru-lay</t>
  </si>
  <si>
    <t>配信</t>
  </si>
  <si>
    <t>nemo album</t>
  </si>
  <si>
    <t>ホリプロインターナショナル</t>
  </si>
  <si>
    <t>バンダイナムコミュージックライブ</t>
  </si>
  <si>
    <t>大橋彩香</t>
    <rPh sb="0" eb="4">
      <t>オオハシアヤカ</t>
    </rPh>
    <phoneticPr fontId="2"/>
  </si>
  <si>
    <t>オオハシアヤカ</t>
    <phoneticPr fontId="2"/>
  </si>
  <si>
    <t>こだまさおり</t>
    <phoneticPr fontId="2"/>
  </si>
  <si>
    <t>コダマサオリ</t>
    <phoneticPr fontId="2"/>
  </si>
  <si>
    <t>畑亜貴</t>
    <rPh sb="0" eb="1">
      <t>ハタケ</t>
    </rPh>
    <rPh sb="1" eb="3">
      <t>アキ</t>
    </rPh>
    <phoneticPr fontId="2"/>
  </si>
  <si>
    <t>ハタアキ</t>
    <phoneticPr fontId="2"/>
  </si>
  <si>
    <t>高田暁</t>
    <rPh sb="0" eb="2">
      <t>タカダ</t>
    </rPh>
    <rPh sb="2" eb="3">
      <t>アカツキ</t>
    </rPh>
    <phoneticPr fontId="2"/>
  </si>
  <si>
    <t>タカダアカツキ</t>
    <phoneticPr fontId="2"/>
  </si>
  <si>
    <t>Kon-k</t>
    <phoneticPr fontId="2"/>
  </si>
  <si>
    <t>佐伯高志</t>
    <rPh sb="0" eb="2">
      <t>サエキ</t>
    </rPh>
    <rPh sb="2" eb="3">
      <t>タカ</t>
    </rPh>
    <rPh sb="3" eb="4">
      <t>ココロザシ</t>
    </rPh>
    <phoneticPr fontId="2"/>
  </si>
  <si>
    <t>サエキタカシ</t>
    <phoneticPr fontId="2"/>
  </si>
  <si>
    <t>作詞</t>
    <rPh sb="0" eb="2">
      <t>サクシ</t>
    </rPh>
    <phoneticPr fontId="2"/>
  </si>
  <si>
    <t>作曲</t>
    <rPh sb="0" eb="2">
      <t>サッキョク</t>
    </rPh>
    <phoneticPr fontId="2"/>
  </si>
  <si>
    <t>編曲</t>
    <rPh sb="0" eb="2">
      <t>ヘンキョク</t>
    </rPh>
    <phoneticPr fontId="2"/>
  </si>
  <si>
    <t>YES!!</t>
    <phoneticPr fontId="2"/>
  </si>
  <si>
    <t>Doing Now!</t>
    <phoneticPr fontId="2"/>
  </si>
  <si>
    <t>明日の風よ</t>
    <phoneticPr fontId="2"/>
  </si>
  <si>
    <t>イエス！！</t>
    <phoneticPr fontId="2"/>
  </si>
  <si>
    <t>ドーイングナウ！</t>
    <phoneticPr fontId="2"/>
  </si>
  <si>
    <t>アシタノカゼヨ</t>
    <phoneticPr fontId="2"/>
  </si>
  <si>
    <t>YES!! (Off Vocal)</t>
    <phoneticPr fontId="2"/>
  </si>
  <si>
    <t>Doing Now! (Off Vocal)</t>
    <phoneticPr fontId="2"/>
  </si>
  <si>
    <t>明日の風よ (Off Vocal)</t>
    <phoneticPr fontId="2"/>
  </si>
  <si>
    <t>{7FD5C1D0-35A1-45BE-A8E2-9BAABD972AB5}</t>
  </si>
  <si>
    <t>{7C4E41B5-6564-4667-8068-ADC465A89697}</t>
  </si>
  <si>
    <t>{12034E27-E0AC-49DF-9ACC-2DF467D3E39E}</t>
  </si>
  <si>
    <t>{FA906F82-A258-43C7-9CAB-0EEB772F2979}</t>
  </si>
  <si>
    <t>{FA906F82-A258-43C7-9CAB-0EEB772F2979}</t>
    <phoneticPr fontId="2"/>
  </si>
  <si>
    <t>{A95BE5C3-3D51-46FD-970E-352A0E0F53D7}</t>
    <phoneticPr fontId="2"/>
  </si>
  <si>
    <t>{DB557282-08B7-4231-B383-A77DC29E2741}</t>
  </si>
  <si>
    <t>{37B8914D-B5E3-425B-8E65-E91EEDA05B04}</t>
  </si>
  <si>
    <t>{B914470C-1315-4B9D-AE74-CB0DF4869C70}</t>
  </si>
  <si>
    <t>{91B6E514-6AA8-48B6-9992-4DE001E5AC89}</t>
  </si>
  <si>
    <t>{392C28F0-FD15-4311-B0A0-FDDA924EFB81}</t>
  </si>
  <si>
    <t>{530F5AF2-6272-4477-A950-6E361B2563F2}</t>
  </si>
  <si>
    <t>{1F61677C-95FE-42A2-B50E-5B5634BCBC9F}</t>
  </si>
  <si>
    <t>{85D6D8AF-6A26-4A2F-902C-74A57E41423F}</t>
  </si>
  <si>
    <t>{0B4797A4-ED78-4821-ABF5-D9344600B159}</t>
  </si>
  <si>
    <t>{11F7A2A9-9CD3-417F-B1F5-9EEC9AE5F40E}</t>
  </si>
  <si>
    <t>{1FF6B79C-476B-4434-B9E6-072FF11C5108}</t>
  </si>
  <si>
    <t>#HASHTAG ME</t>
  </si>
  <si>
    <t>{78F2A6A8-24FD-4C1C-899F-0AB7A54086A1}</t>
  </si>
  <si>
    <t>ダイスキ。</t>
  </si>
  <si>
    <t>{4127AE8D-B1F7-43DB-9E21-1E28CB88E057}</t>
  </si>
  <si>
    <t>NOISY LOVE POWER☆</t>
  </si>
  <si>
    <t>{29CAB6EB-0537-4E7C-B823-21E5EC1990F6}</t>
  </si>
  <si>
    <t>Give Me Five!!!!! ～Thanks my family♡～</t>
  </si>
  <si>
    <t>{B399C6AC-564C-419D-96E9-35CF0A17D38C}</t>
  </si>
  <si>
    <t>ワガママMIRROR HEART</t>
  </si>
  <si>
    <t>{5831D788-D797-4110-BBEC-3D37B51E510A}</t>
  </si>
  <si>
    <t>Be My Friend!!!</t>
  </si>
  <si>
    <t>{D062A898-3DE9-42DD-80A5-55D1EAEEE2C4}</t>
  </si>
  <si>
    <t>ハイライト</t>
  </si>
  <si>
    <t>{1F7657BB-9774-4DEF-AF8C-6ABC8858BAA7}</t>
  </si>
  <si>
    <t>Reflection</t>
  </si>
  <si>
    <t>{D431E6EF-8D71-4A08-AA79-722A702C9FD1}</t>
  </si>
  <si>
    <t>Please, please!</t>
  </si>
  <si>
    <t>{719635DC-DFA6-4B77-A41D-861317B68BCB}</t>
  </si>
  <si>
    <t>起動 ～Start Up!～</t>
  </si>
  <si>
    <t>{0748B6E0-6ABC-4DB5-8D12-874D79B98734}</t>
  </si>
  <si>
    <t>ユー&amp;アイ</t>
  </si>
  <si>
    <t>{D7E1CADB-DED2-457F-96A4-8F84851DB8B1}</t>
  </si>
  <si>
    <t>犬と猫と彩香</t>
  </si>
  <si>
    <t>{F904BBD7-A25B-4475-B7A9-928D0CA79DB7}</t>
  </si>
  <si>
    <t>おしえてブルースカイ</t>
  </si>
  <si>
    <t>{B70B94C1-2CCB-4EF1-B6D1-A07206D114A8}</t>
  </si>
  <si>
    <t>Lumière</t>
  </si>
  <si>
    <t>{E62DD734-B192-4B75-BA88-A3711BC6F1C1}</t>
  </si>
  <si>
    <t>PROGRESS</t>
  </si>
  <si>
    <t>{F126BF7A-B0EC-4810-AF03-D4599253E430}</t>
  </si>
  <si>
    <t>変革Delight</t>
  </si>
  <si>
    <t>{F0F2A0F9-77A4-4105-BDD8-DC01747382F5}</t>
  </si>
  <si>
    <t>ENERGY☆SMILE</t>
  </si>
  <si>
    <t>{F0A26B29-10E5-4F8A-867D-DF215D8B4017}</t>
  </si>
  <si>
    <t>WINGS</t>
  </si>
  <si>
    <t>{AA7AAD28-5750-4226-BA31-E4CB7D25632C}</t>
  </si>
  <si>
    <t>Étoile</t>
  </si>
  <si>
    <t>{4B588B5E-A3AD-4711-AD81-F7A3D290E3DC}</t>
  </si>
  <si>
    <t>ヒトツニナリタイ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</si>
</sst>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:mm;@"/>
  </numFmts>
  <fonts count="5" x14ac:knownFonts="1">
    <font>
      <sz val="11"/>
      <color theme="1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メイリオ"/>
      <family val="3"/>
      <charset val="128"/>
    </font>
    <font>
      <sz val="16"/>
      <color theme="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4" xfId="1" applyBorder="1">
      <alignment vertical="center"/>
    </xf>
    <xf numFmtId="0" fontId="0" fillId="0" borderId="5" xfId="0" applyBorder="1">
      <alignment vertical="center"/>
    </xf>
    <xf numFmtId="0" fontId="1" fillId="0" borderId="6" xfId="1" applyBorder="1">
      <alignment vertical="center"/>
    </xf>
    <xf numFmtId="0" fontId="0" fillId="0" borderId="7" xfId="0" applyBorder="1">
      <alignment vertical="center"/>
    </xf>
    <xf numFmtId="0" fontId="1" fillId="0" borderId="8" xfId="1" applyBorder="1">
      <alignment vertical="center"/>
    </xf>
    <xf numFmtId="0" fontId="3" fillId="0" borderId="0" xfId="0" applyFont="1">
      <alignment vertical="center"/>
    </xf>
    <xf numFmtId="49" fontId="4" fillId="2" borderId="0" xfId="0" applyNumberFormat="1" applyFont="1" applyFill="1" applyBorder="1">
      <alignment vertical="center"/>
    </xf>
    <xf numFmtId="0" fontId="4" fillId="2" borderId="0" xfId="0" applyFont="1" applyFill="1" applyBorder="1">
      <alignment vertical="center"/>
    </xf>
    <xf numFmtId="22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H27" sqref="H27"/>
    </sheetView>
  </sheetViews>
  <sheetFormatPr defaultRowHeight="13.5" x14ac:dyDescent="0.15"/>
  <cols>
    <col min="1" max="1" width="4.125" bestFit="1" customWidth="1"/>
    <col min="2" max="2" width="14.375" bestFit="1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7">
        <v>1</v>
      </c>
      <c r="B2" s="8" t="s">
        <v>2</v>
      </c>
    </row>
    <row r="3" spans="1:2" x14ac:dyDescent="0.15">
      <c r="A3" s="3">
        <v>2</v>
      </c>
      <c r="B3" s="4" t="s">
        <v>3</v>
      </c>
    </row>
    <row r="4" spans="1:2" x14ac:dyDescent="0.15">
      <c r="A4" s="3">
        <v>3</v>
      </c>
      <c r="B4" s="4" t="s">
        <v>4</v>
      </c>
    </row>
    <row r="5" spans="1:2" x14ac:dyDescent="0.15">
      <c r="A5" s="3">
        <v>5</v>
      </c>
      <c r="B5" s="4" t="s">
        <v>6</v>
      </c>
    </row>
    <row r="6" spans="1:2" x14ac:dyDescent="0.15">
      <c r="A6" s="3">
        <v>6</v>
      </c>
      <c r="B6" s="4" t="s">
        <v>7</v>
      </c>
    </row>
    <row r="7" spans="1:2" x14ac:dyDescent="0.15">
      <c r="A7" s="3">
        <v>4</v>
      </c>
      <c r="B7" s="4" t="s">
        <v>5</v>
      </c>
    </row>
    <row r="8" spans="1:2" x14ac:dyDescent="0.15">
      <c r="A8" s="3">
        <v>7</v>
      </c>
      <c r="B8" s="4" t="s">
        <v>8</v>
      </c>
    </row>
    <row r="9" spans="1:2" x14ac:dyDescent="0.15">
      <c r="A9" s="3">
        <v>8</v>
      </c>
      <c r="B9" s="4" t="s">
        <v>9</v>
      </c>
    </row>
    <row r="10" spans="1:2" x14ac:dyDescent="0.15">
      <c r="A10" s="3">
        <v>9</v>
      </c>
      <c r="B10" s="4" t="s">
        <v>10</v>
      </c>
    </row>
    <row r="11" spans="1:2" x14ac:dyDescent="0.15">
      <c r="A11" s="3">
        <v>10</v>
      </c>
      <c r="B11" s="4" t="s">
        <v>11</v>
      </c>
    </row>
    <row r="12" spans="1:2" x14ac:dyDescent="0.15">
      <c r="A12" s="3">
        <v>11</v>
      </c>
      <c r="B12" s="4" t="s">
        <v>12</v>
      </c>
    </row>
    <row r="13" spans="1:2" x14ac:dyDescent="0.15">
      <c r="A13" s="3">
        <v>12</v>
      </c>
      <c r="B13" s="4" t="s">
        <v>13</v>
      </c>
    </row>
    <row r="14" spans="1:2" x14ac:dyDescent="0.15">
      <c r="A14" s="5">
        <v>13</v>
      </c>
      <c r="B14" s="6" t="s">
        <v>14</v>
      </c>
    </row>
  </sheetData>
  <phoneticPr fontId="2"/>
  <hyperlinks>
    <hyperlink ref="B2" location="ID!A1" display="ID"/>
    <hyperlink ref="B3" location="abustract_album!A1" display="abustract_album"/>
    <hyperlink ref="B4" location="album!A1" display="album"/>
    <hyperlink ref="B7" location="label!A1" display="label"/>
    <hyperlink ref="B5" location="media!A1" display="media"/>
    <hyperlink ref="B6" location="organization!A1" display="organization"/>
    <hyperlink ref="B8" location="person!A1" display="person"/>
    <hyperlink ref="B9" location="role!A1" display="role"/>
    <hyperlink ref="B10" location="roleOnAlbum!A1" display="roleOnAlbum"/>
    <hyperlink ref="B11" location="roleOnSong!A1" display="roleOnSong"/>
    <hyperlink ref="B12" location="site!A1" display="site"/>
    <hyperlink ref="B13" location="song!A1" display="song"/>
    <hyperlink ref="B14" location="track!A1" display="track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XFD2"/>
    </sheetView>
  </sheetViews>
  <sheetFormatPr defaultRowHeight="24.75" x14ac:dyDescent="0.15"/>
  <cols>
    <col min="1" max="1" width="23" style="9" bestFit="1" customWidth="1"/>
    <col min="2" max="2" width="16.375" style="9" bestFit="1" customWidth="1"/>
    <col min="3" max="16384" width="9" style="9"/>
  </cols>
  <sheetData>
    <row r="1" spans="1:2" s="11" customFormat="1" x14ac:dyDescent="0.15">
      <c r="A1" s="10" t="s">
        <v>33</v>
      </c>
      <c r="B1" s="10" t="s">
        <v>21</v>
      </c>
    </row>
    <row r="2" spans="1:2" s="11" customFormat="1" x14ac:dyDescent="0.15">
      <c r="A2" s="10" t="s">
        <v>23</v>
      </c>
      <c r="B2" s="10" t="s">
        <v>26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3" sqref="C3:D23"/>
    </sheetView>
  </sheetViews>
  <sheetFormatPr defaultRowHeight="24.75" x14ac:dyDescent="0.15"/>
  <cols>
    <col min="1" max="1" width="69.875" style="9" bestFit="1" customWidth="1"/>
    <col min="2" max="2" width="59" style="9" bestFit="1" customWidth="1"/>
    <col min="3" max="4" width="23.75" style="9" bestFit="1" customWidth="1"/>
    <col min="5" max="16384" width="9" style="9"/>
  </cols>
  <sheetData>
    <row r="1" spans="1:4" s="11" customFormat="1" x14ac:dyDescent="0.15">
      <c r="A1" s="10" t="s">
        <v>40</v>
      </c>
      <c r="B1" s="10" t="s">
        <v>18</v>
      </c>
      <c r="C1" s="11" t="s">
        <v>21</v>
      </c>
      <c r="D1" s="11" t="s">
        <v>22</v>
      </c>
    </row>
    <row r="2" spans="1:4" s="11" customFormat="1" x14ac:dyDescent="0.15">
      <c r="A2" s="10" t="s">
        <v>23</v>
      </c>
      <c r="B2" s="10" t="s">
        <v>25</v>
      </c>
      <c r="C2" s="11" t="s">
        <v>26</v>
      </c>
      <c r="D2" s="11" t="s">
        <v>26</v>
      </c>
    </row>
    <row r="3" spans="1:4" x14ac:dyDescent="0.15">
      <c r="A3" s="9" t="s">
        <v>75</v>
      </c>
      <c r="B3" s="9" t="s">
        <v>43</v>
      </c>
      <c r="C3" s="13">
        <v>45661.935053900466</v>
      </c>
      <c r="D3" s="13">
        <v>45661.935053900466</v>
      </c>
    </row>
    <row r="4" spans="1:4" x14ac:dyDescent="0.15">
      <c r="A4" s="9" t="s">
        <v>91</v>
      </c>
      <c r="B4" s="9" t="s">
        <v>92</v>
      </c>
      <c r="C4" s="13">
        <v>45662.596971296298</v>
      </c>
      <c r="D4" s="13">
        <v>45662.596971296298</v>
      </c>
    </row>
    <row r="5" spans="1:4" x14ac:dyDescent="0.15">
      <c r="A5" s="9" t="s">
        <v>93</v>
      </c>
      <c r="B5" s="9" t="s">
        <v>94</v>
      </c>
      <c r="C5" s="13">
        <v>45662.596971296298</v>
      </c>
      <c r="D5" s="13">
        <v>45662.596971296298</v>
      </c>
    </row>
    <row r="6" spans="1:4" x14ac:dyDescent="0.15">
      <c r="A6" s="9" t="s">
        <v>95</v>
      </c>
      <c r="B6" s="9" t="s">
        <v>96</v>
      </c>
      <c r="C6" s="13">
        <v>45662.596971296298</v>
      </c>
      <c r="D6" s="13">
        <v>45662.596971296298</v>
      </c>
    </row>
    <row r="7" spans="1:4" x14ac:dyDescent="0.15">
      <c r="A7" s="9" t="s">
        <v>97</v>
      </c>
      <c r="B7" s="9" t="s">
        <v>98</v>
      </c>
      <c r="C7" s="13">
        <v>45662.596971296298</v>
      </c>
      <c r="D7" s="13">
        <v>45662.596971296298</v>
      </c>
    </row>
    <row r="8" spans="1:4" x14ac:dyDescent="0.15">
      <c r="A8" s="9" t="s">
        <v>99</v>
      </c>
      <c r="B8" s="9" t="s">
        <v>100</v>
      </c>
      <c r="C8" s="13">
        <v>45662.596971296298</v>
      </c>
      <c r="D8" s="13">
        <v>45662.596971296298</v>
      </c>
    </row>
    <row r="9" spans="1:4" x14ac:dyDescent="0.15">
      <c r="A9" s="9" t="s">
        <v>101</v>
      </c>
      <c r="B9" s="9" t="s">
        <v>102</v>
      </c>
      <c r="C9" s="13">
        <v>45662.596971296298</v>
      </c>
      <c r="D9" s="13">
        <v>45662.596971296298</v>
      </c>
    </row>
    <row r="10" spans="1:4" x14ac:dyDescent="0.15">
      <c r="A10" s="9" t="s">
        <v>103</v>
      </c>
      <c r="B10" s="9" t="s">
        <v>104</v>
      </c>
      <c r="C10" s="13">
        <v>45662.596971296298</v>
      </c>
      <c r="D10" s="13">
        <v>45662.596971296298</v>
      </c>
    </row>
    <row r="11" spans="1:4" x14ac:dyDescent="0.15">
      <c r="A11" s="9" t="s">
        <v>105</v>
      </c>
      <c r="B11" s="9" t="s">
        <v>106</v>
      </c>
      <c r="C11" s="13">
        <v>45662.596971296298</v>
      </c>
      <c r="D11" s="13">
        <v>45662.596971296298</v>
      </c>
    </row>
    <row r="12" spans="1:4" x14ac:dyDescent="0.15">
      <c r="A12" s="9" t="s">
        <v>107</v>
      </c>
      <c r="B12" s="9" t="s">
        <v>108</v>
      </c>
      <c r="C12" s="13">
        <v>45662.596971296298</v>
      </c>
      <c r="D12" s="13">
        <v>45662.596971296298</v>
      </c>
    </row>
    <row r="13" spans="1:4" x14ac:dyDescent="0.15">
      <c r="A13" s="9" t="s">
        <v>109</v>
      </c>
      <c r="B13" s="9" t="s">
        <v>110</v>
      </c>
      <c r="C13" s="13">
        <v>45662.596971296298</v>
      </c>
      <c r="D13" s="13">
        <v>45662.596971296298</v>
      </c>
    </row>
    <row r="14" spans="1:4" x14ac:dyDescent="0.15">
      <c r="A14" s="9" t="s">
        <v>111</v>
      </c>
      <c r="B14" s="9" t="s">
        <v>112</v>
      </c>
      <c r="C14" s="13">
        <v>45662.596971296298</v>
      </c>
      <c r="D14" s="13">
        <v>45662.596971296298</v>
      </c>
    </row>
    <row r="15" spans="1:4" x14ac:dyDescent="0.15">
      <c r="A15" s="9" t="s">
        <v>113</v>
      </c>
      <c r="B15" s="9" t="s">
        <v>114</v>
      </c>
      <c r="C15" s="13">
        <v>45662.596971296298</v>
      </c>
      <c r="D15" s="13">
        <v>45662.596971296298</v>
      </c>
    </row>
    <row r="16" spans="1:4" x14ac:dyDescent="0.15">
      <c r="A16" s="9" t="s">
        <v>115</v>
      </c>
      <c r="B16" s="9" t="s">
        <v>116</v>
      </c>
      <c r="C16" s="13">
        <v>45662.596971296298</v>
      </c>
      <c r="D16" s="13">
        <v>45662.596971296298</v>
      </c>
    </row>
    <row r="17" spans="1:4" x14ac:dyDescent="0.15">
      <c r="A17" s="9" t="s">
        <v>117</v>
      </c>
      <c r="B17" s="9" t="s">
        <v>118</v>
      </c>
      <c r="C17" s="13">
        <v>45662.596971296298</v>
      </c>
      <c r="D17" s="13">
        <v>45662.596971296298</v>
      </c>
    </row>
    <row r="18" spans="1:4" x14ac:dyDescent="0.15">
      <c r="A18" s="9" t="s">
        <v>119</v>
      </c>
      <c r="B18" s="9" t="s">
        <v>120</v>
      </c>
      <c r="C18" s="13">
        <v>45662.596971296298</v>
      </c>
      <c r="D18" s="13">
        <v>45662.596971296298</v>
      </c>
    </row>
    <row r="19" spans="1:4" x14ac:dyDescent="0.15">
      <c r="A19" s="9" t="s">
        <v>121</v>
      </c>
      <c r="B19" s="9" t="s">
        <v>122</v>
      </c>
      <c r="C19" s="13">
        <v>45662.596971296298</v>
      </c>
      <c r="D19" s="13">
        <v>45662.596971296298</v>
      </c>
    </row>
    <row r="20" spans="1:4" x14ac:dyDescent="0.15">
      <c r="A20" s="9" t="s">
        <v>123</v>
      </c>
      <c r="B20" s="9" t="s">
        <v>124</v>
      </c>
      <c r="C20" s="13">
        <v>45662.596971296298</v>
      </c>
      <c r="D20" s="13">
        <v>45662.596971296298</v>
      </c>
    </row>
    <row r="21" spans="1:4" x14ac:dyDescent="0.15">
      <c r="A21" s="9" t="s">
        <v>125</v>
      </c>
      <c r="B21" s="9" t="s">
        <v>126</v>
      </c>
      <c r="C21" s="13">
        <v>45662.596971296298</v>
      </c>
      <c r="D21" s="13">
        <v>45662.596971296298</v>
      </c>
    </row>
    <row r="22" spans="1:4" x14ac:dyDescent="0.15">
      <c r="A22" s="9" t="s">
        <v>127</v>
      </c>
      <c r="B22" s="9" t="s">
        <v>128</v>
      </c>
      <c r="C22" s="13">
        <v>45662.596971296298</v>
      </c>
      <c r="D22" s="13">
        <v>45662.596971296298</v>
      </c>
    </row>
    <row r="23" spans="1:4" x14ac:dyDescent="0.15">
      <c r="A23" s="9" t="s">
        <v>129</v>
      </c>
      <c r="B23" s="9" t="s">
        <v>130</v>
      </c>
      <c r="C23" s="13">
        <v>45662.596971296298</v>
      </c>
      <c r="D23" s="13">
        <v>45662.596971296298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21" sqref="B21"/>
    </sheetView>
  </sheetViews>
  <sheetFormatPr defaultRowHeight="24.75" x14ac:dyDescent="0.15"/>
  <cols>
    <col min="1" max="1" width="23" style="9" bestFit="1" customWidth="1"/>
    <col min="2" max="2" width="69.875" style="9" bestFit="1" customWidth="1"/>
    <col min="3" max="3" width="34.875" style="9" bestFit="1" customWidth="1"/>
    <col min="4" max="4" width="17.75" style="9" bestFit="1" customWidth="1"/>
    <col min="5" max="5" width="23" style="9" bestFit="1" customWidth="1"/>
    <col min="6" max="7" width="23.75" style="9" bestFit="1" customWidth="1"/>
    <col min="8" max="16384" width="9" style="9"/>
  </cols>
  <sheetData>
    <row r="1" spans="1:7" s="11" customFormat="1" x14ac:dyDescent="0.15">
      <c r="A1" s="10" t="s">
        <v>16</v>
      </c>
      <c r="B1" s="10" t="s">
        <v>40</v>
      </c>
      <c r="C1" s="11" t="s">
        <v>18</v>
      </c>
      <c r="D1" s="11" t="s">
        <v>38</v>
      </c>
      <c r="E1" s="11" t="s">
        <v>39</v>
      </c>
      <c r="F1" s="11" t="s">
        <v>21</v>
      </c>
      <c r="G1" s="11" t="s">
        <v>22</v>
      </c>
    </row>
    <row r="2" spans="1:7" s="11" customFormat="1" x14ac:dyDescent="0.15">
      <c r="A2" s="10" t="s">
        <v>23</v>
      </c>
      <c r="B2" s="10" t="s">
        <v>23</v>
      </c>
      <c r="C2" s="11" t="s">
        <v>25</v>
      </c>
      <c r="D2" s="11" t="s">
        <v>24</v>
      </c>
      <c r="E2" s="11" t="s">
        <v>23</v>
      </c>
      <c r="F2" s="11" t="s">
        <v>26</v>
      </c>
      <c r="G2" s="11" t="s">
        <v>26</v>
      </c>
    </row>
    <row r="3" spans="1:7" x14ac:dyDescent="0.15">
      <c r="A3" s="9" t="s">
        <v>80</v>
      </c>
      <c r="B3" s="9" t="s">
        <v>75</v>
      </c>
      <c r="C3" s="9" t="s">
        <v>42</v>
      </c>
      <c r="D3" s="9">
        <v>1</v>
      </c>
      <c r="E3" s="9" t="s">
        <v>78</v>
      </c>
      <c r="F3" s="12">
        <v>45661.943429398147</v>
      </c>
      <c r="G3" s="12">
        <v>45661.943429398147</v>
      </c>
    </row>
    <row r="4" spans="1:7" x14ac:dyDescent="0.15">
      <c r="A4" s="9" t="s">
        <v>81</v>
      </c>
      <c r="B4" s="9" t="s">
        <v>75</v>
      </c>
      <c r="C4" s="9" t="s">
        <v>41</v>
      </c>
      <c r="D4" s="9">
        <v>1</v>
      </c>
      <c r="E4" s="9" t="s">
        <v>78</v>
      </c>
      <c r="F4" s="12">
        <v>45661.943429398147</v>
      </c>
      <c r="G4" s="12">
        <v>45661.943429398147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C7"/>
  <sheetViews>
    <sheetView workbookViewId="0">
      <selection activeCell="G13" sqref="G13"/>
    </sheetView>
  </sheetViews>
  <sheetFormatPr defaultRowHeight="24.75" x14ac:dyDescent="0.15"/>
  <cols>
    <col min="1" max="1" width="17.75" style="9" bestFit="1" customWidth="1"/>
    <col min="2" max="2" width="21.625" style="9" bestFit="1" customWidth="1"/>
    <col min="3" max="3" width="23.75" style="9" bestFit="1" customWidth="1"/>
    <col min="4" max="16384" width="9" style="9"/>
  </cols>
  <sheetData>
    <row r="1" spans="1:3" s="11" customFormat="1" x14ac:dyDescent="0.15">
      <c r="A1" s="10" t="s">
        <v>38</v>
      </c>
      <c r="B1" s="10" t="s">
        <v>36</v>
      </c>
      <c r="C1" s="11" t="s">
        <v>21</v>
      </c>
    </row>
    <row r="2" spans="1:3" s="11" customFormat="1" x14ac:dyDescent="0.15">
      <c r="A2" s="10" t="s">
        <v>24</v>
      </c>
      <c r="B2" s="10" t="s">
        <v>28</v>
      </c>
      <c r="C2" s="11" t="s">
        <v>26</v>
      </c>
    </row>
    <row r="3" spans="1:3" x14ac:dyDescent="0.15">
      <c r="A3" s="9">
        <v>1</v>
      </c>
      <c r="B3" s="9" t="s">
        <v>45</v>
      </c>
      <c r="C3" s="12">
        <v>45661.938888888886</v>
      </c>
    </row>
    <row r="4" spans="1:3" x14ac:dyDescent="0.15">
      <c r="A4" s="9">
        <v>2</v>
      </c>
      <c r="B4" s="9" t="s">
        <v>46</v>
      </c>
      <c r="C4" s="12">
        <v>45661.938888888886</v>
      </c>
    </row>
    <row r="5" spans="1:3" x14ac:dyDescent="0.15">
      <c r="A5" s="9">
        <v>3</v>
      </c>
      <c r="B5" s="9" t="s">
        <v>47</v>
      </c>
      <c r="C5" s="12">
        <v>45661.938888888886</v>
      </c>
    </row>
    <row r="6" spans="1:3" x14ac:dyDescent="0.15">
      <c r="A6" s="9">
        <v>4</v>
      </c>
      <c r="B6" s="9" t="s">
        <v>48</v>
      </c>
      <c r="C6" s="12">
        <v>45661.938888888886</v>
      </c>
    </row>
    <row r="7" spans="1:3" x14ac:dyDescent="0.15">
      <c r="A7" s="9">
        <v>5</v>
      </c>
      <c r="B7" s="9" t="s">
        <v>49</v>
      </c>
      <c r="C7" s="12">
        <v>45661.938888888886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E4"/>
  <sheetViews>
    <sheetView workbookViewId="0">
      <selection activeCell="A4" sqref="A4"/>
    </sheetView>
  </sheetViews>
  <sheetFormatPr defaultRowHeight="24.75" x14ac:dyDescent="0.15"/>
  <cols>
    <col min="1" max="1" width="69" style="9" bestFit="1" customWidth="1"/>
    <col min="2" max="3" width="47.625" style="9" bestFit="1" customWidth="1"/>
    <col min="4" max="5" width="23.75" style="9" bestFit="1" customWidth="1"/>
    <col min="6" max="16384" width="9" style="9"/>
  </cols>
  <sheetData>
    <row r="1" spans="1:5" s="11" customFormat="1" x14ac:dyDescent="0.15">
      <c r="A1" s="10" t="s">
        <v>37</v>
      </c>
      <c r="B1" s="10" t="s">
        <v>36</v>
      </c>
      <c r="C1" s="11" t="s">
        <v>27</v>
      </c>
      <c r="D1" s="11" t="s">
        <v>21</v>
      </c>
      <c r="E1" s="11" t="s">
        <v>22</v>
      </c>
    </row>
    <row r="2" spans="1:5" s="11" customFormat="1" x14ac:dyDescent="0.15">
      <c r="A2" s="10" t="s">
        <v>23</v>
      </c>
      <c r="B2" s="10" t="s">
        <v>28</v>
      </c>
      <c r="C2" s="11" t="s">
        <v>28</v>
      </c>
      <c r="D2" s="11" t="s">
        <v>26</v>
      </c>
      <c r="E2" s="11" t="s">
        <v>26</v>
      </c>
    </row>
    <row r="3" spans="1:5" x14ac:dyDescent="0.15">
      <c r="A3" s="9" t="s">
        <v>76</v>
      </c>
      <c r="B3" s="9" t="s">
        <v>50</v>
      </c>
      <c r="C3" s="9" t="s">
        <v>50</v>
      </c>
      <c r="D3" s="12">
        <v>45661.94027777778</v>
      </c>
      <c r="E3" s="12">
        <v>45661.94027777778</v>
      </c>
    </row>
    <row r="4" spans="1:5" x14ac:dyDescent="0.15">
      <c r="A4" s="9" t="s">
        <v>77</v>
      </c>
      <c r="B4" s="9" t="s">
        <v>51</v>
      </c>
      <c r="C4" s="9" t="s">
        <v>51</v>
      </c>
      <c r="D4" s="12">
        <v>45661.94027777778</v>
      </c>
      <c r="E4" s="12">
        <v>45661.94027777778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E3"/>
  <sheetViews>
    <sheetView workbookViewId="0">
      <selection activeCell="A3" sqref="A3"/>
    </sheetView>
  </sheetViews>
  <sheetFormatPr defaultRowHeight="24.75" x14ac:dyDescent="0.15"/>
  <cols>
    <col min="1" max="2" width="23" style="9" bestFit="1" customWidth="1"/>
    <col min="3" max="3" width="21.625" style="9" bestFit="1" customWidth="1"/>
    <col min="4" max="5" width="23.75" style="9" bestFit="1" customWidth="1"/>
    <col min="6" max="16384" width="9" style="9"/>
  </cols>
  <sheetData>
    <row r="1" spans="1:5" s="11" customFormat="1" x14ac:dyDescent="0.15">
      <c r="A1" s="10" t="s">
        <v>39</v>
      </c>
      <c r="B1" s="10" t="s">
        <v>37</v>
      </c>
      <c r="C1" s="11" t="s">
        <v>36</v>
      </c>
      <c r="D1" s="11" t="s">
        <v>21</v>
      </c>
      <c r="E1" s="11" t="s">
        <v>22</v>
      </c>
    </row>
    <row r="2" spans="1:5" s="11" customFormat="1" x14ac:dyDescent="0.15">
      <c r="A2" s="10" t="s">
        <v>23</v>
      </c>
      <c r="B2" s="10" t="s">
        <v>23</v>
      </c>
      <c r="C2" s="11" t="s">
        <v>25</v>
      </c>
      <c r="D2" s="11" t="s">
        <v>26</v>
      </c>
      <c r="E2" s="11" t="s">
        <v>26</v>
      </c>
    </row>
    <row r="3" spans="1:5" x14ac:dyDescent="0.15">
      <c r="A3" s="9" t="s">
        <v>79</v>
      </c>
      <c r="B3" s="9" t="s">
        <v>77</v>
      </c>
      <c r="C3" s="9" t="s">
        <v>44</v>
      </c>
      <c r="D3" s="12">
        <v>45661.941209027776</v>
      </c>
      <c r="E3" s="12">
        <v>45661.941209027776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1" sqref="E11"/>
    </sheetView>
  </sheetViews>
  <sheetFormatPr defaultRowHeight="24.75" x14ac:dyDescent="0.15"/>
  <cols>
    <col min="1" max="1" width="23" style="9" bestFit="1" customWidth="1"/>
    <col min="2" max="3" width="21.625" style="9" bestFit="1" customWidth="1"/>
    <col min="4" max="4" width="23.75" style="9" bestFit="1" customWidth="1"/>
    <col min="5" max="5" width="17.75" style="9" bestFit="1" customWidth="1"/>
    <col min="6" max="16384" width="9" style="9"/>
  </cols>
  <sheetData>
    <row r="1" spans="1:5" s="11" customFormat="1" x14ac:dyDescent="0.15">
      <c r="A1" s="10" t="s">
        <v>35</v>
      </c>
      <c r="B1" s="10" t="s">
        <v>36</v>
      </c>
      <c r="C1" s="11" t="s">
        <v>27</v>
      </c>
      <c r="D1" s="11" t="s">
        <v>21</v>
      </c>
      <c r="E1" s="11" t="s">
        <v>22</v>
      </c>
    </row>
    <row r="2" spans="1:5" s="11" customFormat="1" x14ac:dyDescent="0.15">
      <c r="A2" s="10" t="s">
        <v>23</v>
      </c>
      <c r="B2" s="10" t="s">
        <v>28</v>
      </c>
      <c r="C2" s="11" t="s">
        <v>28</v>
      </c>
      <c r="D2" s="11" t="s">
        <v>26</v>
      </c>
      <c r="E2" s="11" t="s">
        <v>26</v>
      </c>
    </row>
    <row r="3" spans="1:5" x14ac:dyDescent="0.15">
      <c r="A3" s="9" t="s">
        <v>82</v>
      </c>
      <c r="B3" s="9" t="s">
        <v>52</v>
      </c>
      <c r="C3" s="9" t="s">
        <v>53</v>
      </c>
      <c r="D3" s="12">
        <f ca="1">NOW()</f>
        <v>45662.597512152781</v>
      </c>
      <c r="E3" s="12">
        <f ca="1">NOW()</f>
        <v>45662.597512152781</v>
      </c>
    </row>
    <row r="4" spans="1:5" x14ac:dyDescent="0.15">
      <c r="A4" s="9" t="s">
        <v>83</v>
      </c>
      <c r="B4" s="9" t="s">
        <v>54</v>
      </c>
      <c r="C4" s="9" t="s">
        <v>55</v>
      </c>
      <c r="D4" s="12">
        <f t="shared" ref="D4:E8" ca="1" si="0">NOW()</f>
        <v>45662.597512152781</v>
      </c>
      <c r="E4" s="12">
        <f t="shared" ca="1" si="0"/>
        <v>45662.597512152781</v>
      </c>
    </row>
    <row r="5" spans="1:5" x14ac:dyDescent="0.15">
      <c r="A5" s="9" t="s">
        <v>84</v>
      </c>
      <c r="B5" s="9" t="s">
        <v>56</v>
      </c>
      <c r="C5" s="9" t="s">
        <v>57</v>
      </c>
      <c r="D5" s="12">
        <f t="shared" ca="1" si="0"/>
        <v>45662.597512152781</v>
      </c>
      <c r="E5" s="12">
        <f t="shared" ca="1" si="0"/>
        <v>45662.597512152781</v>
      </c>
    </row>
    <row r="6" spans="1:5" x14ac:dyDescent="0.15">
      <c r="A6" s="9" t="s">
        <v>85</v>
      </c>
      <c r="B6" s="9" t="s">
        <v>58</v>
      </c>
      <c r="C6" s="9" t="s">
        <v>59</v>
      </c>
      <c r="D6" s="12">
        <f t="shared" ca="1" si="0"/>
        <v>45662.597512152781</v>
      </c>
      <c r="E6" s="12">
        <f t="shared" ca="1" si="0"/>
        <v>45662.597512152781</v>
      </c>
    </row>
    <row r="7" spans="1:5" x14ac:dyDescent="0.15">
      <c r="A7" s="9" t="s">
        <v>86</v>
      </c>
      <c r="B7" s="9" t="s">
        <v>60</v>
      </c>
      <c r="C7" s="9" t="s">
        <v>60</v>
      </c>
      <c r="D7" s="12">
        <f t="shared" ca="1" si="0"/>
        <v>45662.597512152781</v>
      </c>
      <c r="E7" s="12">
        <f t="shared" ca="1" si="0"/>
        <v>45662.597512152781</v>
      </c>
    </row>
    <row r="8" spans="1:5" x14ac:dyDescent="0.15">
      <c r="A8" s="9" t="s">
        <v>87</v>
      </c>
      <c r="B8" s="9" t="s">
        <v>61</v>
      </c>
      <c r="C8" s="9" t="s">
        <v>62</v>
      </c>
      <c r="D8" s="12">
        <f t="shared" ca="1" si="0"/>
        <v>45662.597512152781</v>
      </c>
      <c r="E8" s="12">
        <f t="shared" ca="1" si="0"/>
        <v>45662.597512152781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D5"/>
  <sheetViews>
    <sheetView workbookViewId="0">
      <selection activeCell="C15" sqref="C15"/>
    </sheetView>
  </sheetViews>
  <sheetFormatPr defaultRowHeight="24.75" x14ac:dyDescent="0.15"/>
  <cols>
    <col min="1" max="1" width="10.625" style="9" bestFit="1" customWidth="1"/>
    <col min="2" max="2" width="21.625" style="9" bestFit="1" customWidth="1"/>
    <col min="3" max="4" width="23.75" style="9" bestFit="1" customWidth="1"/>
    <col min="5" max="16384" width="9" style="9"/>
  </cols>
  <sheetData>
    <row r="1" spans="1:4" s="11" customFormat="1" x14ac:dyDescent="0.15">
      <c r="A1" s="10" t="s">
        <v>34</v>
      </c>
      <c r="B1" s="10" t="s">
        <v>36</v>
      </c>
      <c r="C1" s="11" t="s">
        <v>21</v>
      </c>
      <c r="D1" s="11" t="s">
        <v>22</v>
      </c>
    </row>
    <row r="2" spans="1:4" s="11" customFormat="1" x14ac:dyDescent="0.15">
      <c r="A2" s="10" t="s">
        <v>24</v>
      </c>
      <c r="B2" s="10" t="s">
        <v>25</v>
      </c>
      <c r="C2" s="11" t="s">
        <v>26</v>
      </c>
      <c r="D2" s="11" t="s">
        <v>26</v>
      </c>
    </row>
    <row r="3" spans="1:4" x14ac:dyDescent="0.15">
      <c r="A3" s="9">
        <v>1</v>
      </c>
      <c r="B3" s="9" t="s">
        <v>63</v>
      </c>
      <c r="C3" s="12">
        <v>45661.942036574073</v>
      </c>
      <c r="D3" s="12">
        <v>45661.942036574073</v>
      </c>
    </row>
    <row r="4" spans="1:4" x14ac:dyDescent="0.15">
      <c r="A4" s="9">
        <v>2</v>
      </c>
      <c r="B4" s="9" t="s">
        <v>64</v>
      </c>
      <c r="C4" s="12">
        <v>45661.942036574073</v>
      </c>
      <c r="D4" s="12">
        <v>45661.942036574073</v>
      </c>
    </row>
    <row r="5" spans="1:4" x14ac:dyDescent="0.15">
      <c r="A5" s="9">
        <v>3</v>
      </c>
      <c r="B5" s="9" t="s">
        <v>65</v>
      </c>
      <c r="C5" s="12">
        <v>45661.942036574073</v>
      </c>
      <c r="D5" s="12">
        <v>45661.942036574073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XFD2"/>
    </sheetView>
  </sheetViews>
  <sheetFormatPr defaultRowHeight="24.75" x14ac:dyDescent="0.15"/>
  <cols>
    <col min="1" max="4" width="23" style="9" bestFit="1" customWidth="1"/>
    <col min="5" max="5" width="16.375" style="9" bestFit="1" customWidth="1"/>
    <col min="6" max="6" width="17.75" style="9" bestFit="1" customWidth="1"/>
    <col min="7" max="16384" width="9" style="9"/>
  </cols>
  <sheetData>
    <row r="1" spans="1:6" s="11" customFormat="1" x14ac:dyDescent="0.15">
      <c r="A1" s="10" t="s">
        <v>33</v>
      </c>
      <c r="B1" s="10" t="s">
        <v>16</v>
      </c>
      <c r="C1" s="11" t="s">
        <v>34</v>
      </c>
      <c r="D1" s="11" t="s">
        <v>35</v>
      </c>
      <c r="E1" s="11" t="s">
        <v>21</v>
      </c>
      <c r="F1" s="11" t="s">
        <v>22</v>
      </c>
    </row>
    <row r="2" spans="1:6" s="11" customFormat="1" x14ac:dyDescent="0.15">
      <c r="A2" s="10" t="s">
        <v>23</v>
      </c>
      <c r="B2" s="10" t="s">
        <v>23</v>
      </c>
      <c r="C2" s="11" t="s">
        <v>23</v>
      </c>
      <c r="D2" s="11" t="s">
        <v>23</v>
      </c>
      <c r="E2" s="11" t="s">
        <v>26</v>
      </c>
      <c r="F2" s="11" t="s">
        <v>26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XFD2"/>
    </sheetView>
  </sheetViews>
  <sheetFormatPr defaultRowHeight="24.75" x14ac:dyDescent="0.15"/>
  <cols>
    <col min="1" max="4" width="23" style="9" bestFit="1" customWidth="1"/>
    <col min="5" max="5" width="16.375" style="9" bestFit="1" customWidth="1"/>
    <col min="6" max="6" width="17.75" style="9" bestFit="1" customWidth="1"/>
    <col min="7" max="16384" width="9" style="9"/>
  </cols>
  <sheetData>
    <row r="1" spans="1:6" s="11" customFormat="1" x14ac:dyDescent="0.15">
      <c r="A1" s="10" t="s">
        <v>33</v>
      </c>
      <c r="B1" s="10" t="s">
        <v>20</v>
      </c>
      <c r="C1" s="11" t="s">
        <v>34</v>
      </c>
      <c r="D1" s="11" t="s">
        <v>35</v>
      </c>
      <c r="E1" s="11" t="s">
        <v>21</v>
      </c>
      <c r="F1" s="11" t="s">
        <v>22</v>
      </c>
    </row>
    <row r="2" spans="1:6" s="11" customFormat="1" x14ac:dyDescent="0.15">
      <c r="A2" s="10" t="s">
        <v>23</v>
      </c>
      <c r="B2" s="10" t="s">
        <v>23</v>
      </c>
      <c r="C2" s="11" t="s">
        <v>23</v>
      </c>
      <c r="D2" s="11" t="s">
        <v>23</v>
      </c>
      <c r="E2" s="11" t="s">
        <v>26</v>
      </c>
      <c r="F2" s="11" t="s">
        <v>26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9" sqref="E9"/>
    </sheetView>
  </sheetViews>
  <sheetFormatPr defaultRowHeight="24.75" x14ac:dyDescent="0.15"/>
  <cols>
    <col min="1" max="1" width="23" style="9" bestFit="1" customWidth="1"/>
    <col min="2" max="2" width="14.375" style="9" bestFit="1" customWidth="1"/>
    <col min="3" max="4" width="21.625" style="9" bestFit="1" customWidth="1"/>
    <col min="5" max="5" width="16.375" style="9" bestFit="1" customWidth="1"/>
    <col min="6" max="6" width="17.75" style="9" bestFit="1" customWidth="1"/>
    <col min="7" max="16384" width="9" style="9"/>
  </cols>
  <sheetData>
    <row r="1" spans="1:6" s="11" customFormat="1" x14ac:dyDescent="0.15">
      <c r="A1" s="10" t="s">
        <v>29</v>
      </c>
      <c r="B1" s="10" t="s">
        <v>30</v>
      </c>
      <c r="C1" s="11" t="s">
        <v>31</v>
      </c>
      <c r="D1" s="11" t="s">
        <v>32</v>
      </c>
      <c r="E1" s="11" t="s">
        <v>21</v>
      </c>
      <c r="F1" s="11" t="s">
        <v>22</v>
      </c>
    </row>
    <row r="2" spans="1:6" s="11" customFormat="1" x14ac:dyDescent="0.15">
      <c r="A2" s="10" t="s">
        <v>23</v>
      </c>
      <c r="B2" s="10" t="s">
        <v>24</v>
      </c>
      <c r="C2" s="11" t="s">
        <v>25</v>
      </c>
      <c r="D2" s="11" t="s">
        <v>25</v>
      </c>
      <c r="E2" s="11" t="s">
        <v>26</v>
      </c>
      <c r="F2" s="11" t="s">
        <v>26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8" sqref="B18"/>
    </sheetView>
  </sheetViews>
  <sheetFormatPr defaultRowHeight="24.75" x14ac:dyDescent="0.15"/>
  <cols>
    <col min="1" max="1" width="23" style="9" bestFit="1" customWidth="1"/>
    <col min="2" max="3" width="21.625" style="9" bestFit="1" customWidth="1"/>
    <col min="4" max="4" width="23.75" style="9" bestFit="1" customWidth="1"/>
    <col min="5" max="5" width="17.75" style="9" bestFit="1" customWidth="1"/>
    <col min="6" max="16384" width="9" style="9"/>
  </cols>
  <sheetData>
    <row r="1" spans="1:5" s="11" customFormat="1" x14ac:dyDescent="0.15">
      <c r="A1" s="10" t="s">
        <v>20</v>
      </c>
      <c r="B1" s="10" t="s">
        <v>18</v>
      </c>
      <c r="C1" s="11" t="s">
        <v>27</v>
      </c>
      <c r="D1" s="11" t="s">
        <v>21</v>
      </c>
      <c r="E1" s="11" t="s">
        <v>22</v>
      </c>
    </row>
    <row r="2" spans="1:5" s="11" customFormat="1" x14ac:dyDescent="0.15">
      <c r="A2" s="10" t="s">
        <v>23</v>
      </c>
      <c r="B2" s="10" t="s">
        <v>28</v>
      </c>
      <c r="C2" s="11" t="s">
        <v>28</v>
      </c>
      <c r="D2" s="11" t="s">
        <v>26</v>
      </c>
      <c r="E2" s="11" t="s">
        <v>26</v>
      </c>
    </row>
    <row r="3" spans="1:5" x14ac:dyDescent="0.15">
      <c r="A3" s="9" t="s">
        <v>88</v>
      </c>
      <c r="B3" s="9" t="s">
        <v>66</v>
      </c>
      <c r="C3" s="9" t="s">
        <v>69</v>
      </c>
      <c r="D3" s="12">
        <f ca="1">NOW()</f>
        <v>45662.597512152781</v>
      </c>
      <c r="E3" s="12">
        <f ca="1">NOW()</f>
        <v>45662.597512152781</v>
      </c>
    </row>
    <row r="4" spans="1:5" x14ac:dyDescent="0.15">
      <c r="A4" s="9" t="s">
        <v>89</v>
      </c>
      <c r="B4" s="9" t="s">
        <v>67</v>
      </c>
      <c r="C4" s="9" t="s">
        <v>70</v>
      </c>
      <c r="D4" s="12">
        <f t="shared" ref="D4:E5" ca="1" si="0">NOW()</f>
        <v>45662.597512152781</v>
      </c>
      <c r="E4" s="12">
        <f t="shared" ca="1" si="0"/>
        <v>45662.597512152781</v>
      </c>
    </row>
    <row r="5" spans="1:5" x14ac:dyDescent="0.15">
      <c r="A5" s="9" t="s">
        <v>90</v>
      </c>
      <c r="B5" s="9" t="s">
        <v>68</v>
      </c>
      <c r="C5" s="9" t="s">
        <v>71</v>
      </c>
      <c r="D5" s="12">
        <f t="shared" ca="1" si="0"/>
        <v>45662.597512152781</v>
      </c>
      <c r="E5" s="12">
        <f t="shared" ca="1" si="0"/>
        <v>45662.597512152781</v>
      </c>
    </row>
  </sheetData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D13" sqref="D13"/>
    </sheetView>
  </sheetViews>
  <sheetFormatPr defaultRowHeight="24.75" x14ac:dyDescent="0.15"/>
  <cols>
    <col min="1" max="2" width="23" style="9" bestFit="1" customWidth="1"/>
    <col min="3" max="3" width="13.5" style="9" bestFit="1" customWidth="1"/>
    <col min="4" max="4" width="33.625" style="9" bestFit="1" customWidth="1"/>
    <col min="5" max="5" width="10" style="9" bestFit="1" customWidth="1"/>
    <col min="6" max="6" width="23" style="9" bestFit="1" customWidth="1"/>
    <col min="7" max="7" width="16.375" style="9" bestFit="1" customWidth="1"/>
    <col min="8" max="8" width="17.75" style="9" bestFit="1" customWidth="1"/>
    <col min="9" max="16384" width="9" style="9"/>
  </cols>
  <sheetData>
    <row r="1" spans="1:8" s="11" customFormat="1" x14ac:dyDescent="0.15">
      <c r="A1" s="10" t="s">
        <v>15</v>
      </c>
      <c r="B1" s="10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</row>
    <row r="2" spans="1:8" s="11" customFormat="1" x14ac:dyDescent="0.15">
      <c r="A2" s="10" t="s">
        <v>23</v>
      </c>
      <c r="B2" s="10" t="s">
        <v>23</v>
      </c>
      <c r="C2" s="11" t="s">
        <v>24</v>
      </c>
      <c r="D2" s="11" t="s">
        <v>25</v>
      </c>
      <c r="E2" s="11" t="s">
        <v>24</v>
      </c>
      <c r="F2" s="11" t="s">
        <v>23</v>
      </c>
      <c r="G2" s="11" t="s">
        <v>26</v>
      </c>
      <c r="H2" s="11" t="s">
        <v>26</v>
      </c>
    </row>
    <row r="3" spans="1:8" x14ac:dyDescent="0.15">
      <c r="C3" s="9">
        <v>1</v>
      </c>
      <c r="D3" s="9" t="s">
        <v>66</v>
      </c>
    </row>
    <row r="4" spans="1:8" x14ac:dyDescent="0.15">
      <c r="C4" s="9">
        <v>2</v>
      </c>
      <c r="D4" s="9" t="s">
        <v>67</v>
      </c>
    </row>
    <row r="5" spans="1:8" x14ac:dyDescent="0.15">
      <c r="C5" s="9">
        <v>3</v>
      </c>
      <c r="D5" s="9" t="s">
        <v>68</v>
      </c>
    </row>
    <row r="6" spans="1:8" x14ac:dyDescent="0.15">
      <c r="C6" s="9">
        <v>4</v>
      </c>
      <c r="D6" s="9" t="s">
        <v>72</v>
      </c>
    </row>
    <row r="7" spans="1:8" x14ac:dyDescent="0.15">
      <c r="C7" s="9">
        <v>5</v>
      </c>
      <c r="D7" s="9" t="s">
        <v>73</v>
      </c>
    </row>
    <row r="8" spans="1:8" x14ac:dyDescent="0.15">
      <c r="C8" s="9">
        <v>6</v>
      </c>
      <c r="D8" s="9" t="s">
        <v>74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#SheetList</vt:lpstr>
      <vt:lpstr>ID</vt:lpstr>
      <vt:lpstr>abustract_album</vt:lpstr>
      <vt:lpstr>album</vt:lpstr>
      <vt:lpstr>media</vt:lpstr>
      <vt:lpstr>organization</vt:lpstr>
      <vt:lpstr>label</vt:lpstr>
      <vt:lpstr>person</vt:lpstr>
      <vt:lpstr>role</vt:lpstr>
      <vt:lpstr>roleOnAlbum</vt:lpstr>
      <vt:lpstr>roleOnSong</vt:lpstr>
      <vt:lpstr>site</vt:lpstr>
      <vt:lpstr>song</vt:lpstr>
      <vt:lpstr>track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さとうしゅんすけ</dc:creator>
  <cp:lastModifiedBy>さとうしゅんすけ</cp:lastModifiedBy>
  <dcterms:created xsi:type="dcterms:W3CDTF">2025-01-04T08:13:06Z</dcterms:created>
  <dcterms:modified xsi:type="dcterms:W3CDTF">2025-01-05T05:20:49Z</dcterms:modified>
</cp:coreProperties>
</file>